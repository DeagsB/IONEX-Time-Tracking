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an Vo\Desktop\"/>
    </mc:Choice>
  </mc:AlternateContent>
  <xr:revisionPtr revIDLastSave="0" documentId="8_{3185040F-40E2-43C6-A3A7-F42143F5FFEF}" xr6:coauthVersionLast="47" xr6:coauthVersionMax="47" xr10:uidLastSave="{00000000-0000-0000-0000-000000000000}"/>
  <bookViews>
    <workbookView xWindow="43185" yWindow="-16200" windowWidth="28815" windowHeight="15900" firstSheet="1" activeTab="1" xr2:uid="{5A5E2DE4-403C-4AC4-9717-A7244597BA88}"/>
  </bookViews>
  <sheets>
    <sheet name="Template" sheetId="114" r:id="rId1"/>
    <sheet name="DB_25101" sheetId="32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325" l="1"/>
  <c r="M36" i="325"/>
  <c r="M32" i="325"/>
  <c r="M39" i="325" s="1"/>
  <c r="N24" i="325"/>
  <c r="M38" i="325" s="1"/>
  <c r="M24" i="325"/>
  <c r="L24" i="325"/>
  <c r="K24" i="325"/>
  <c r="M35" i="325" s="1"/>
  <c r="M1" i="325" a="1"/>
  <c r="M1" i="325" s="1"/>
  <c r="M40" i="325" l="1"/>
  <c r="M1" i="114" l="1" a="1"/>
  <c r="M1" i="114" s="1"/>
  <c r="M32" i="114"/>
  <c r="M39" i="114" s="1"/>
  <c r="N24" i="114"/>
  <c r="M38" i="114" s="1"/>
  <c r="M24" i="114"/>
  <c r="M37" i="114" s="1"/>
  <c r="L24" i="114"/>
  <c r="M36" i="114" s="1"/>
  <c r="K24" i="114"/>
  <c r="M35" i="114" s="1"/>
  <c r="M40" i="1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<sst xmlns="http://schemas.openxmlformats.org/spreadsheetml/2006/main" count="89" uniqueCount="51">
  <si>
    <t>SERVICE TICKET</t>
  </si>
  <si>
    <t>Ticket:</t>
  </si>
  <si>
    <t>Customer Name</t>
  </si>
  <si>
    <t>Billing Address</t>
  </si>
  <si>
    <t>Contact Name</t>
  </si>
  <si>
    <t>Service Info</t>
  </si>
  <si>
    <t>Contact Phone</t>
  </si>
  <si>
    <t>Job ID</t>
  </si>
  <si>
    <t>Job Type</t>
  </si>
  <si>
    <t>Contact Email</t>
  </si>
  <si>
    <t>Tech</t>
  </si>
  <si>
    <t>Service Location</t>
  </si>
  <si>
    <t>Date</t>
  </si>
  <si>
    <t>PO/CC/AFE</t>
  </si>
  <si>
    <t>Service Description</t>
  </si>
  <si>
    <t>RT</t>
  </si>
  <si>
    <t>TT</t>
  </si>
  <si>
    <t>FT</t>
  </si>
  <si>
    <t>OT</t>
  </si>
  <si>
    <t>RT Rate:</t>
  </si>
  <si>
    <t>FT Rate:</t>
  </si>
  <si>
    <t>Total Time</t>
  </si>
  <si>
    <t>Travel / Subsistence / Expenses / Equipment</t>
  </si>
  <si>
    <t>RATE</t>
  </si>
  <si>
    <t>QTY</t>
  </si>
  <si>
    <t>SUB</t>
  </si>
  <si>
    <t>Total Expenses</t>
  </si>
  <si>
    <t>Customer Approval / Coding</t>
  </si>
  <si>
    <t>Service Ticket Summary</t>
  </si>
  <si>
    <t>Total RT</t>
  </si>
  <si>
    <t>Total TT</t>
  </si>
  <si>
    <t>Total FT</t>
  </si>
  <si>
    <t>Total OT</t>
  </si>
  <si>
    <t>TOTAL SERVICE TICKET</t>
  </si>
  <si>
    <t>Customer Signature</t>
  </si>
  <si>
    <t>Canadian Natural Resources Ltd.</t>
  </si>
  <si>
    <t>2100,  855 - 2 Street SW</t>
  </si>
  <si>
    <t>Calgary, AB</t>
  </si>
  <si>
    <t>T2P 4J8</t>
  </si>
  <si>
    <t>Nicholas Beck</t>
  </si>
  <si>
    <t>403-716-3986</t>
  </si>
  <si>
    <t>Auto</t>
  </si>
  <si>
    <t>nicholas.beck@cnrl.com</t>
  </si>
  <si>
    <t>Deagan Bespalko</t>
  </si>
  <si>
    <t>Driftwood</t>
  </si>
  <si>
    <t>11-35-78-23W4</t>
  </si>
  <si>
    <t>FC250108</t>
  </si>
  <si>
    <t>3210.430</t>
  </si>
  <si>
    <t>PLC  Development:  Quick task descript here
VTScada Development:  Quick task descript here</t>
  </si>
  <si>
    <t>AFE:</t>
  </si>
  <si>
    <t>CC: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</si>
</sst>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;@"/>
    <numFmt numFmtId="166" formatCode="0;\-0;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0" fontId="1" fillId="0" borderId="0" xfId="0" applyFont="1" applyAlignment="1">
      <alignment horizontal="left"/>
    </xf>
    <xf numFmtId="0" fontId="0" fillId="0" borderId="7" xfId="0" applyBorder="1"/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0" xfId="0" applyFont="1"/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1" fillId="0" borderId="2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24" xfId="0" applyBorder="1" applyAlignment="1">
      <alignment horizontal="left"/>
    </xf>
    <xf numFmtId="0" fontId="1" fillId="0" borderId="46" xfId="0" applyFont="1" applyBorder="1" applyAlignment="1">
      <alignment horizontal="right"/>
    </xf>
    <xf numFmtId="0" fontId="0" fillId="0" borderId="12" xfId="0" applyBorder="1"/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right"/>
    </xf>
    <xf numFmtId="165" fontId="3" fillId="0" borderId="7" xfId="0" applyNumberFormat="1" applyFont="1" applyBorder="1" applyAlignment="1">
      <alignment horizontal="left"/>
    </xf>
    <xf numFmtId="0" fontId="1" fillId="0" borderId="37" xfId="0" applyFont="1" applyBorder="1" applyAlignment="1">
      <alignment horizontal="right"/>
    </xf>
    <xf numFmtId="0" fontId="1" fillId="0" borderId="39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2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1" fillId="0" borderId="30" xfId="0" applyFont="1" applyBorder="1" applyAlignment="1">
      <alignment horizontal="right"/>
    </xf>
    <xf numFmtId="0" fontId="1" fillId="0" borderId="32" xfId="0" applyFont="1" applyBorder="1" applyAlignment="1">
      <alignment horizontal="right"/>
    </xf>
    <xf numFmtId="0" fontId="1" fillId="0" borderId="28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9" xfId="0" applyBorder="1" applyAlignment="1">
      <alignment horizontal="left"/>
    </xf>
    <xf numFmtId="165" fontId="0" fillId="0" borderId="36" xfId="0" applyNumberFormat="1" applyBorder="1" applyAlignment="1">
      <alignment horizontal="left"/>
    </xf>
    <xf numFmtId="165" fontId="0" fillId="0" borderId="35" xfId="0" applyNumberFormat="1" applyBorder="1" applyAlignment="1">
      <alignment horizontal="left"/>
    </xf>
    <xf numFmtId="165" fontId="0" fillId="0" borderId="9" xfId="0" applyNumberFormat="1" applyBorder="1" applyAlignment="1">
      <alignment horizontal="left"/>
    </xf>
    <xf numFmtId="0" fontId="1" fillId="0" borderId="40" xfId="0" applyFont="1" applyBorder="1" applyAlignment="1">
      <alignment horizontal="right"/>
    </xf>
    <xf numFmtId="0" fontId="1" fillId="0" borderId="42" xfId="0" applyFont="1" applyBorder="1" applyAlignment="1">
      <alignment horizontal="right"/>
    </xf>
    <xf numFmtId="0" fontId="1" fillId="0" borderId="45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left"/>
    </xf>
    <xf numFmtId="164" fontId="0" fillId="0" borderId="2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164" fontId="0" fillId="0" borderId="2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164" fontId="0" fillId="0" borderId="2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1" fillId="0" borderId="22" xfId="0" applyFont="1" applyBorder="1" applyAlignment="1">
      <alignment horizontal="right"/>
    </xf>
    <xf numFmtId="0" fontId="1" fillId="0" borderId="35" xfId="0" applyFont="1" applyBorder="1" applyAlignment="1">
      <alignment horizontal="right"/>
    </xf>
    <xf numFmtId="0" fontId="1" fillId="0" borderId="43" xfId="0" applyFont="1" applyBorder="1" applyAlignment="1">
      <alignment horizontal="right"/>
    </xf>
    <xf numFmtId="164" fontId="1" fillId="0" borderId="36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38" xfId="0" applyFont="1" applyBorder="1" applyAlignment="1">
      <alignment horizontal="right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1" fillId="0" borderId="31" xfId="0" applyFont="1" applyBorder="1" applyAlignment="1">
      <alignment horizontal="right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1" fillId="0" borderId="41" xfId="0" applyFont="1" applyBorder="1" applyAlignment="1">
      <alignment horizontal="right"/>
    </xf>
    <xf numFmtId="0" fontId="0" fillId="0" borderId="2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27" xfId="0" applyBorder="1" applyAlignment="1">
      <alignment horizontal="left"/>
    </xf>
    <xf numFmtId="0" fontId="2" fillId="0" borderId="28" xfId="1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1" xfId="0" applyBorder="1" applyAlignment="1">
      <alignment horizontal="left"/>
    </xf>
    <xf numFmtId="49" fontId="0" fillId="0" borderId="41" xfId="0" applyNumberFormat="1" applyBorder="1" applyAlignment="1">
      <alignment horizontal="left"/>
    </xf>
    <xf numFmtId="49" fontId="0" fillId="0" borderId="44" xfId="0" applyNumberForma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3" xfId="0" applyBorder="1" applyAlignment="1"/>
    <xf numFmtId="0" fontId="0" fillId="0" borderId="0" xfId="0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172510</xdr:colOff>
      <xdr:row>0</xdr:row>
      <xdr:rowOff>94194</xdr:rowOff>
    </xdr:from>
    <xdr:to>
      <xdr:col>5</xdr:col>
      <xdr:colOff>0</xdr:colOff>
      <xdr:row>6</xdr:row>
      <xdr:rowOff>153057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F8F16-6E4C-4016-BAC5-227E47ABD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10" y="94194"/>
          <a:ext cx="2827865" cy="1211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172510</xdr:colOff>
      <xdr:row>0</xdr:row>
      <xdr:rowOff>94194</xdr:rowOff>
    </xdr:from>
    <xdr:to>
      <xdr:col>5</xdr:col>
      <xdr:colOff>0</xdr:colOff>
      <xdr:row>6</xdr:row>
      <xdr:rowOff>153057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F5FDD8-1BC6-40B1-AD78-352246324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10" y="94194"/>
          <a:ext cx="2827865" cy="1211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icholas.beck@cnr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A434-E459-454C-9568-45230DBD2CAD}">
  <dimension ref="A1:O46"/>
  <sheetViews>
    <sheetView showWhiteSpace="0" view="pageLayout" zoomScale="80" zoomScaleNormal="100" zoomScalePageLayoutView="80" workbookViewId="0">
      <selection activeCell="B12" sqref="B12"/>
    </sheetView>
  </sheetViews>
  <sheetFormatPr defaultColWidth="0" defaultRowHeight="15" customHeight="1" zeroHeight="1"/>
  <cols>
    <col min="1" max="1" width="2.7109375" customWidth="1"/>
    <col min="2" max="4" width="10" customWidth="1"/>
    <col min="5" max="8" width="9.28515625" customWidth="1"/>
    <col min="9" max="14" width="4.7109375" customWidth="1"/>
    <col min="15" max="15" width="2.7109375" customWidth="1"/>
    <col min="16" max="16384" width="9.140625" hidden="1"/>
  </cols>
  <sheetData>
    <row r="1" spans="2:15">
      <c r="B1" s="5"/>
      <c r="C1" s="6"/>
      <c r="D1" s="7"/>
      <c r="E1" s="46" t="s">
        <v>0</v>
      </c>
      <c r="F1" s="46"/>
      <c r="G1" s="46"/>
      <c r="H1" s="46"/>
      <c r="I1" s="4"/>
      <c r="J1" s="4"/>
      <c r="K1" s="5"/>
      <c r="L1" s="5" t="s">
        <v>1</v>
      </c>
      <c r="M1" s="47" t="e" cm="1">
        <f t="array" aca="1" ref="M1" ca="1">_xlfn.TEXTAFTER(CELL("filename",A1),"]")</f>
        <v>#VALUE!</v>
      </c>
      <c r="N1" s="47"/>
      <c r="O1" s="21"/>
    </row>
    <row r="2" spans="2:15" ht="15.75" thickBot="1">
      <c r="K2" s="48"/>
      <c r="L2" s="48"/>
      <c r="M2" s="49"/>
      <c r="N2" s="49"/>
    </row>
    <row r="3" spans="2:15">
      <c r="F3" s="1"/>
      <c r="G3" s="50" t="s">
        <v>2</v>
      </c>
      <c r="H3" s="51"/>
      <c r="I3" s="52"/>
      <c r="J3" s="53"/>
      <c r="K3" s="53"/>
      <c r="L3" s="53"/>
      <c r="M3" s="53"/>
      <c r="N3" s="54"/>
    </row>
    <row r="4" spans="2:15">
      <c r="F4" s="1"/>
      <c r="G4" s="55" t="s">
        <v>3</v>
      </c>
      <c r="H4" s="56"/>
      <c r="I4" s="57"/>
      <c r="J4" s="58"/>
      <c r="K4" s="58"/>
      <c r="L4" s="58"/>
      <c r="M4" s="58"/>
      <c r="N4" s="59"/>
    </row>
    <row r="5" spans="2:15">
      <c r="F5" s="1"/>
      <c r="G5" s="60"/>
      <c r="H5" s="61"/>
      <c r="I5" s="62"/>
      <c r="J5" s="46"/>
      <c r="K5" s="46"/>
      <c r="L5" s="46"/>
      <c r="M5" s="46"/>
      <c r="N5" s="63"/>
    </row>
    <row r="6" spans="2:15">
      <c r="G6" s="64"/>
      <c r="H6" s="65"/>
      <c r="I6" s="66"/>
      <c r="J6" s="67"/>
      <c r="K6" s="67"/>
      <c r="L6" s="67"/>
      <c r="M6" s="67"/>
      <c r="N6" s="68"/>
    </row>
    <row r="7" spans="2:15">
      <c r="G7" s="69" t="s">
        <v>4</v>
      </c>
      <c r="H7" s="70"/>
      <c r="I7" s="71"/>
      <c r="J7" s="72"/>
      <c r="K7" s="72"/>
      <c r="L7" s="72"/>
      <c r="M7" s="72"/>
      <c r="N7" s="73"/>
    </row>
    <row r="8" spans="2:15" ht="15.75" thickBot="1">
      <c r="B8" s="27" t="s">
        <v>5</v>
      </c>
      <c r="C8" s="17"/>
      <c r="D8" s="9"/>
      <c r="E8" s="9"/>
      <c r="G8" s="69" t="s">
        <v>6</v>
      </c>
      <c r="H8" s="70"/>
      <c r="I8" s="71"/>
      <c r="J8" s="72"/>
      <c r="K8" s="72"/>
      <c r="L8" s="72"/>
      <c r="M8" s="72"/>
      <c r="N8" s="73"/>
    </row>
    <row r="9" spans="2:15" ht="15.75" thickBot="1">
      <c r="B9" s="30" t="s">
        <v>7</v>
      </c>
      <c r="C9" s="31"/>
      <c r="D9" s="32" t="s">
        <v>8</v>
      </c>
      <c r="E9" s="33"/>
      <c r="G9" s="69" t="s">
        <v>9</v>
      </c>
      <c r="H9" s="70"/>
      <c r="I9" s="74"/>
      <c r="J9" s="75"/>
      <c r="K9" s="75"/>
      <c r="L9" s="75"/>
      <c r="M9" s="75"/>
      <c r="N9" s="76"/>
    </row>
    <row r="10" spans="2:15" ht="15.75" thickBot="1">
      <c r="B10" s="29" t="s">
        <v>10</v>
      </c>
      <c r="C10" s="78"/>
      <c r="D10" s="79"/>
      <c r="E10" s="80"/>
      <c r="G10" s="69" t="s">
        <v>11</v>
      </c>
      <c r="H10" s="70"/>
      <c r="I10" s="71"/>
      <c r="J10" s="72"/>
      <c r="K10" s="72"/>
      <c r="L10" s="72"/>
      <c r="M10" s="72"/>
      <c r="N10" s="73"/>
    </row>
    <row r="11" spans="2:15" ht="15.75" thickBot="1">
      <c r="B11" s="29" t="s">
        <v>12</v>
      </c>
      <c r="C11" s="81">
        <v>45691</v>
      </c>
      <c r="D11" s="82"/>
      <c r="E11" s="83"/>
      <c r="G11" s="84" t="s">
        <v>13</v>
      </c>
      <c r="H11" s="85"/>
      <c r="I11" s="86"/>
      <c r="J11" s="87"/>
      <c r="K11" s="87"/>
      <c r="L11" s="87"/>
      <c r="M11" s="87"/>
      <c r="N11" s="88"/>
    </row>
    <row r="12" spans="2:15">
      <c r="B12" s="3"/>
    </row>
    <row r="13" spans="2:15" ht="15.75" thickBot="1">
      <c r="B13" s="8" t="s">
        <v>14</v>
      </c>
      <c r="I13" s="1"/>
      <c r="J13" s="1"/>
      <c r="K13" s="4" t="s">
        <v>15</v>
      </c>
      <c r="L13" s="4" t="s">
        <v>16</v>
      </c>
      <c r="M13" s="4" t="s">
        <v>17</v>
      </c>
      <c r="N13" s="4" t="s">
        <v>18</v>
      </c>
    </row>
    <row r="14" spans="2:15">
      <c r="B14" s="89"/>
      <c r="C14" s="90"/>
      <c r="D14" s="90"/>
      <c r="E14" s="90"/>
      <c r="F14" s="90"/>
      <c r="G14" s="90"/>
      <c r="H14" s="90"/>
      <c r="I14" s="90"/>
      <c r="J14" s="91"/>
      <c r="K14" s="12"/>
      <c r="L14" s="13"/>
      <c r="M14" s="13"/>
      <c r="N14" s="18"/>
    </row>
    <row r="15" spans="2:15">
      <c r="B15" s="77"/>
      <c r="C15" s="67"/>
      <c r="D15" s="67"/>
      <c r="E15" s="67"/>
      <c r="F15" s="67"/>
      <c r="G15" s="67"/>
      <c r="H15" s="67"/>
      <c r="I15" s="67"/>
      <c r="J15" s="68"/>
      <c r="K15" s="15"/>
      <c r="L15" s="16"/>
      <c r="M15" s="16"/>
      <c r="N15" s="19"/>
    </row>
    <row r="16" spans="2:15">
      <c r="B16" s="77"/>
      <c r="C16" s="67"/>
      <c r="D16" s="67"/>
      <c r="E16" s="67"/>
      <c r="F16" s="67"/>
      <c r="G16" s="67"/>
      <c r="H16" s="67"/>
      <c r="I16" s="67"/>
      <c r="J16" s="68"/>
      <c r="K16" s="15"/>
      <c r="L16" s="16"/>
      <c r="M16" s="16"/>
      <c r="N16" s="19"/>
    </row>
    <row r="17" spans="2:14">
      <c r="B17" s="77"/>
      <c r="C17" s="67"/>
      <c r="D17" s="67"/>
      <c r="E17" s="67"/>
      <c r="F17" s="67"/>
      <c r="G17" s="67"/>
      <c r="H17" s="67"/>
      <c r="I17" s="67"/>
      <c r="J17" s="68"/>
      <c r="K17" s="15"/>
      <c r="L17" s="16"/>
      <c r="M17" s="16"/>
      <c r="N17" s="19"/>
    </row>
    <row r="18" spans="2:14">
      <c r="B18" s="77"/>
      <c r="C18" s="67"/>
      <c r="D18" s="67"/>
      <c r="E18" s="67"/>
      <c r="F18" s="67"/>
      <c r="G18" s="67"/>
      <c r="H18" s="67"/>
      <c r="I18" s="67"/>
      <c r="J18" s="68"/>
      <c r="K18" s="15"/>
      <c r="L18" s="16"/>
      <c r="M18" s="16"/>
      <c r="N18" s="19"/>
    </row>
    <row r="19" spans="2:14">
      <c r="B19" s="77"/>
      <c r="C19" s="67"/>
      <c r="D19" s="67"/>
      <c r="E19" s="67"/>
      <c r="F19" s="67"/>
      <c r="G19" s="67"/>
      <c r="H19" s="67"/>
      <c r="I19" s="67"/>
      <c r="J19" s="68"/>
      <c r="K19" s="15"/>
      <c r="L19" s="16"/>
      <c r="M19" s="16"/>
      <c r="N19" s="19"/>
    </row>
    <row r="20" spans="2:14">
      <c r="B20" s="77"/>
      <c r="C20" s="67"/>
      <c r="D20" s="67"/>
      <c r="E20" s="67"/>
      <c r="F20" s="67"/>
      <c r="G20" s="67"/>
      <c r="H20" s="67"/>
      <c r="I20" s="67"/>
      <c r="J20" s="68"/>
      <c r="K20" s="15"/>
      <c r="L20" s="16"/>
      <c r="M20" s="16"/>
      <c r="N20" s="19"/>
    </row>
    <row r="21" spans="2:14">
      <c r="B21" s="77"/>
      <c r="C21" s="67"/>
      <c r="D21" s="67"/>
      <c r="E21" s="67"/>
      <c r="F21" s="67"/>
      <c r="G21" s="67"/>
      <c r="H21" s="67"/>
      <c r="I21" s="67"/>
      <c r="J21" s="68"/>
      <c r="K21" s="15"/>
      <c r="L21" s="16"/>
      <c r="M21" s="16"/>
      <c r="N21" s="19"/>
    </row>
    <row r="22" spans="2:14">
      <c r="B22" s="77"/>
      <c r="C22" s="67"/>
      <c r="D22" s="67"/>
      <c r="E22" s="67"/>
      <c r="F22" s="67"/>
      <c r="G22" s="67"/>
      <c r="H22" s="67"/>
      <c r="I22" s="67"/>
      <c r="J22" s="68"/>
      <c r="K22" s="15"/>
      <c r="L22" s="16"/>
      <c r="M22" s="16"/>
      <c r="N22" s="19"/>
    </row>
    <row r="23" spans="2:14" ht="15.75" thickBot="1">
      <c r="B23" s="98"/>
      <c r="C23" s="99"/>
      <c r="D23" s="99"/>
      <c r="E23" s="99"/>
      <c r="F23" s="99"/>
      <c r="G23" s="99"/>
      <c r="H23" s="99"/>
      <c r="I23" s="99"/>
      <c r="J23" s="100"/>
      <c r="K23" s="11"/>
      <c r="L23" s="14"/>
      <c r="M23" s="14"/>
      <c r="N23" s="20"/>
    </row>
    <row r="24" spans="2:14" ht="15.75" thickBot="1">
      <c r="B24" s="10" t="s">
        <v>19</v>
      </c>
      <c r="C24" s="28">
        <v>130</v>
      </c>
      <c r="D24" s="10" t="s">
        <v>20</v>
      </c>
      <c r="E24" s="28">
        <v>140</v>
      </c>
      <c r="H24" s="2"/>
      <c r="I24" s="2"/>
      <c r="J24" s="2" t="s">
        <v>21</v>
      </c>
      <c r="K24" s="22">
        <f>SUM(K14:K23)</f>
        <v>0</v>
      </c>
      <c r="L24" s="23">
        <f>SUM(L14:L23)</f>
        <v>0</v>
      </c>
      <c r="M24" s="23">
        <f>SUM(M14:M23)</f>
        <v>0</v>
      </c>
      <c r="N24" s="24">
        <f>SUM(N14:N23)</f>
        <v>0</v>
      </c>
    </row>
    <row r="25" spans="2:14"/>
    <row r="26" spans="2:14" ht="15.75" thickBot="1">
      <c r="B26" s="1" t="s">
        <v>22</v>
      </c>
      <c r="I26" s="46" t="s">
        <v>23</v>
      </c>
      <c r="J26" s="46"/>
      <c r="K26" s="46" t="s">
        <v>24</v>
      </c>
      <c r="L26" s="46"/>
      <c r="M26" s="46" t="s">
        <v>25</v>
      </c>
      <c r="N26" s="46"/>
    </row>
    <row r="27" spans="2:14">
      <c r="B27" s="89"/>
      <c r="C27" s="90"/>
      <c r="D27" s="90"/>
      <c r="E27" s="90"/>
      <c r="F27" s="90"/>
      <c r="G27" s="90"/>
      <c r="H27" s="101"/>
      <c r="I27" s="102"/>
      <c r="J27" s="103"/>
      <c r="K27" s="104"/>
      <c r="L27" s="105"/>
      <c r="M27" s="102"/>
      <c r="N27" s="106"/>
    </row>
    <row r="28" spans="2:14">
      <c r="B28" s="77"/>
      <c r="C28" s="67"/>
      <c r="D28" s="67"/>
      <c r="E28" s="67"/>
      <c r="F28" s="67"/>
      <c r="G28" s="67"/>
      <c r="H28" s="92"/>
      <c r="I28" s="93"/>
      <c r="J28" s="94"/>
      <c r="K28" s="95"/>
      <c r="L28" s="96"/>
      <c r="M28" s="93"/>
      <c r="N28" s="97"/>
    </row>
    <row r="29" spans="2:14">
      <c r="B29" s="77"/>
      <c r="C29" s="67"/>
      <c r="D29" s="67"/>
      <c r="E29" s="67"/>
      <c r="F29" s="67"/>
      <c r="G29" s="67"/>
      <c r="H29" s="92"/>
      <c r="I29" s="93"/>
      <c r="J29" s="94"/>
      <c r="K29" s="95"/>
      <c r="L29" s="96"/>
      <c r="M29" s="93"/>
      <c r="N29" s="97"/>
    </row>
    <row r="30" spans="2:14">
      <c r="B30" s="77"/>
      <c r="C30" s="67"/>
      <c r="D30" s="67"/>
      <c r="E30" s="67"/>
      <c r="F30" s="67"/>
      <c r="G30" s="67"/>
      <c r="H30" s="92"/>
      <c r="I30" s="93"/>
      <c r="J30" s="94"/>
      <c r="K30" s="95"/>
      <c r="L30" s="96"/>
      <c r="M30" s="93"/>
      <c r="N30" s="97"/>
    </row>
    <row r="31" spans="2:14" ht="15.75" thickBot="1">
      <c r="B31" s="98"/>
      <c r="C31" s="99"/>
      <c r="D31" s="99"/>
      <c r="E31" s="99"/>
      <c r="F31" s="99"/>
      <c r="G31" s="99"/>
      <c r="H31" s="108"/>
      <c r="I31" s="109"/>
      <c r="J31" s="110"/>
      <c r="K31" s="111"/>
      <c r="L31" s="112"/>
      <c r="M31" s="109"/>
      <c r="N31" s="113"/>
    </row>
    <row r="32" spans="2:14" ht="15.75" thickBot="1">
      <c r="L32" s="2" t="s">
        <v>26</v>
      </c>
      <c r="M32" s="114" t="str">
        <f>IF(SUM(M27:N31)&gt;0,SUM(M27:N31),"")</f>
        <v/>
      </c>
      <c r="N32" s="115"/>
    </row>
    <row r="33" spans="2:14">
      <c r="L33" s="2"/>
      <c r="M33" s="25"/>
      <c r="N33" s="25"/>
    </row>
    <row r="34" spans="2:14" ht="15.75" thickBot="1">
      <c r="B34" s="1" t="s">
        <v>27</v>
      </c>
      <c r="H34" s="27" t="s">
        <v>28</v>
      </c>
      <c r="I34" s="9"/>
      <c r="J34" s="9"/>
      <c r="K34" s="9"/>
      <c r="L34" s="26"/>
      <c r="M34" s="107"/>
      <c r="N34" s="107"/>
    </row>
    <row r="35" spans="2:14">
      <c r="B35" s="128"/>
      <c r="C35" s="129"/>
      <c r="D35" s="129"/>
      <c r="E35" s="129"/>
      <c r="F35" s="130"/>
      <c r="H35" s="50" t="s">
        <v>29</v>
      </c>
      <c r="I35" s="137"/>
      <c r="J35" s="137"/>
      <c r="K35" s="137"/>
      <c r="L35" s="51"/>
      <c r="M35" s="138" t="str">
        <f>IF($K$24&gt;0,$K$24*$C$24,"")</f>
        <v/>
      </c>
      <c r="N35" s="139"/>
    </row>
    <row r="36" spans="2:14">
      <c r="B36" s="131"/>
      <c r="C36" s="132"/>
      <c r="D36" s="132"/>
      <c r="E36" s="132"/>
      <c r="F36" s="133"/>
      <c r="H36" s="69" t="s">
        <v>30</v>
      </c>
      <c r="I36" s="140"/>
      <c r="J36" s="140"/>
      <c r="K36" s="140"/>
      <c r="L36" s="70"/>
      <c r="M36" s="141" t="str">
        <f>IF($L$24&gt;0,$L$24*$C$24*0.75,"")</f>
        <v/>
      </c>
      <c r="N36" s="142"/>
    </row>
    <row r="37" spans="2:14">
      <c r="B37" s="131"/>
      <c r="C37" s="132"/>
      <c r="D37" s="132"/>
      <c r="E37" s="132"/>
      <c r="F37" s="133"/>
      <c r="H37" s="69" t="s">
        <v>31</v>
      </c>
      <c r="I37" s="140"/>
      <c r="J37" s="140"/>
      <c r="K37" s="140"/>
      <c r="L37" s="70"/>
      <c r="M37" s="141" t="str">
        <f>IF($M$24&gt;0,$M$24*$E$24,"")</f>
        <v/>
      </c>
      <c r="N37" s="142"/>
    </row>
    <row r="38" spans="2:14">
      <c r="B38" s="131"/>
      <c r="C38" s="132"/>
      <c r="D38" s="132"/>
      <c r="E38" s="132"/>
      <c r="F38" s="133"/>
      <c r="H38" s="69" t="s">
        <v>32</v>
      </c>
      <c r="I38" s="140"/>
      <c r="J38" s="140"/>
      <c r="K38" s="140"/>
      <c r="L38" s="70"/>
      <c r="M38" s="141" t="str">
        <f>IF($N$24&gt;0,$N$24*$C$24*1.5,"")</f>
        <v/>
      </c>
      <c r="N38" s="142"/>
    </row>
    <row r="39" spans="2:14" ht="15.75" thickBot="1">
      <c r="B39" s="131"/>
      <c r="C39" s="132"/>
      <c r="D39" s="132"/>
      <c r="E39" s="132"/>
      <c r="F39" s="133"/>
      <c r="H39" s="84" t="s">
        <v>26</v>
      </c>
      <c r="I39" s="143"/>
      <c r="J39" s="143"/>
      <c r="K39" s="143"/>
      <c r="L39" s="85"/>
      <c r="M39" s="116" t="str">
        <f>IF($M$32&gt;0,$M$32,"")</f>
        <v/>
      </c>
      <c r="N39" s="117"/>
    </row>
    <row r="40" spans="2:14" ht="15.75" thickBot="1">
      <c r="B40" s="134"/>
      <c r="C40" s="135"/>
      <c r="D40" s="135"/>
      <c r="E40" s="135"/>
      <c r="F40" s="136"/>
      <c r="H40" s="118" t="s">
        <v>33</v>
      </c>
      <c r="I40" s="119"/>
      <c r="J40" s="119"/>
      <c r="K40" s="119"/>
      <c r="L40" s="120"/>
      <c r="M40" s="121">
        <f>SUM(M35:N39)</f>
        <v>0</v>
      </c>
      <c r="N40" s="122"/>
    </row>
    <row r="41" spans="2:14"/>
    <row r="42" spans="2:14" ht="15.75" thickBot="1">
      <c r="B42" s="1" t="s">
        <v>34</v>
      </c>
    </row>
    <row r="43" spans="2:14">
      <c r="B43" s="123"/>
      <c r="C43" s="105"/>
      <c r="D43" s="105"/>
      <c r="E43" s="105"/>
      <c r="F43" s="124"/>
    </row>
    <row r="44" spans="2:14" ht="15.75" thickBot="1">
      <c r="B44" s="125"/>
      <c r="C44" s="126"/>
      <c r="D44" s="126"/>
      <c r="E44" s="126"/>
      <c r="F44" s="127"/>
    </row>
    <row r="45" spans="2:14"/>
    <row r="46" spans="2:14"/>
  </sheetData>
  <mergeCells count="73">
    <mergeCell ref="M39:N39"/>
    <mergeCell ref="H40:L40"/>
    <mergeCell ref="M40:N40"/>
    <mergeCell ref="B43:F44"/>
    <mergeCell ref="B35:F40"/>
    <mergeCell ref="H35:L35"/>
    <mergeCell ref="M35:N35"/>
    <mergeCell ref="H36:L36"/>
    <mergeCell ref="M36:N36"/>
    <mergeCell ref="H37:L37"/>
    <mergeCell ref="M37:N37"/>
    <mergeCell ref="H38:L38"/>
    <mergeCell ref="M38:N38"/>
    <mergeCell ref="H39:L39"/>
    <mergeCell ref="M34:N34"/>
    <mergeCell ref="B29:H29"/>
    <mergeCell ref="I29:J29"/>
    <mergeCell ref="K29:L29"/>
    <mergeCell ref="M29:N29"/>
    <mergeCell ref="B30:H30"/>
    <mergeCell ref="I30:J30"/>
    <mergeCell ref="K30:L30"/>
    <mergeCell ref="M30:N30"/>
    <mergeCell ref="B31:H31"/>
    <mergeCell ref="I31:J31"/>
    <mergeCell ref="K31:L31"/>
    <mergeCell ref="M31:N31"/>
    <mergeCell ref="M32:N32"/>
    <mergeCell ref="B28:H28"/>
    <mergeCell ref="I28:J28"/>
    <mergeCell ref="K28:L28"/>
    <mergeCell ref="M28:N28"/>
    <mergeCell ref="B20:J20"/>
    <mergeCell ref="B21:J21"/>
    <mergeCell ref="B22:J22"/>
    <mergeCell ref="B23:J23"/>
    <mergeCell ref="I26:J26"/>
    <mergeCell ref="K26:L26"/>
    <mergeCell ref="M26:N26"/>
    <mergeCell ref="B27:H27"/>
    <mergeCell ref="I27:J27"/>
    <mergeCell ref="K27:L27"/>
    <mergeCell ref="M27:N27"/>
    <mergeCell ref="B19:J19"/>
    <mergeCell ref="C10:E10"/>
    <mergeCell ref="G10:H10"/>
    <mergeCell ref="I10:N10"/>
    <mergeCell ref="C11:E11"/>
    <mergeCell ref="G11:H11"/>
    <mergeCell ref="I11:N11"/>
    <mergeCell ref="B14:J14"/>
    <mergeCell ref="B15:J15"/>
    <mergeCell ref="B16:J16"/>
    <mergeCell ref="B17:J17"/>
    <mergeCell ref="B18:J18"/>
    <mergeCell ref="G7:H7"/>
    <mergeCell ref="I7:N7"/>
    <mergeCell ref="G8:H8"/>
    <mergeCell ref="I8:N8"/>
    <mergeCell ref="G9:H9"/>
    <mergeCell ref="I9:N9"/>
    <mergeCell ref="G4:H4"/>
    <mergeCell ref="I4:N4"/>
    <mergeCell ref="G5:H5"/>
    <mergeCell ref="I5:N5"/>
    <mergeCell ref="G6:H6"/>
    <mergeCell ref="I6:N6"/>
    <mergeCell ref="E1:H1"/>
    <mergeCell ref="M1:N1"/>
    <mergeCell ref="K2:L2"/>
    <mergeCell ref="M2:N2"/>
    <mergeCell ref="G3:H3"/>
    <mergeCell ref="I3:N3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A213-BA59-4E3E-8C22-1ACB8FDA1025}">
  <sheetPr>
    <tabColor rgb="FFFFFF00"/>
  </sheetPr>
  <dimension ref="A1:O46"/>
  <sheetViews>
    <sheetView tabSelected="1" showWhiteSpace="0" view="pageLayout" zoomScale="80" zoomScaleNormal="100" zoomScalePageLayoutView="80" workbookViewId="0">
      <selection activeCell="B14" sqref="B14:J23"/>
    </sheetView>
  </sheetViews>
  <sheetFormatPr defaultColWidth="0" defaultRowHeight="15" customHeight="1" zeroHeight="1"/>
  <cols>
    <col min="1" max="1" width="2.7109375" customWidth="1"/>
    <col min="2" max="4" width="10" customWidth="1"/>
    <col min="5" max="8" width="9.28515625" customWidth="1"/>
    <col min="9" max="14" width="4.7109375" customWidth="1"/>
    <col min="15" max="15" width="2.7109375" customWidth="1"/>
    <col min="16" max="16384" width="9.140625" hidden="1"/>
  </cols>
  <sheetData>
    <row r="1" spans="2:15">
      <c r="B1" s="5"/>
      <c r="C1" s="6"/>
      <c r="D1" s="7"/>
      <c r="E1" s="46" t="s">
        <v>0</v>
      </c>
      <c r="F1" s="46"/>
      <c r="G1" s="46"/>
      <c r="H1" s="46"/>
      <c r="I1" s="4"/>
      <c r="J1" s="4"/>
      <c r="K1" s="5"/>
      <c r="L1" s="5" t="s">
        <v>1</v>
      </c>
      <c r="M1" s="47" t="e" cm="1">
        <f t="array" aca="1" ref="M1" ca="1">_xlfn.TEXTAFTER(CELL("filename",A1),"]")</f>
        <v>#VALUE!</v>
      </c>
      <c r="N1" s="47"/>
      <c r="O1" s="21"/>
    </row>
    <row r="2" spans="2:15" ht="15.75" thickBot="1">
      <c r="K2" s="48"/>
      <c r="L2" s="48"/>
      <c r="M2" s="49"/>
      <c r="N2" s="49"/>
    </row>
    <row r="3" spans="2:15">
      <c r="F3" s="1"/>
      <c r="G3" s="50" t="s">
        <v>2</v>
      </c>
      <c r="H3" s="51"/>
      <c r="I3" s="144" t="s">
        <v>35</v>
      </c>
      <c r="J3" s="145"/>
      <c r="K3" s="145"/>
      <c r="L3" s="145"/>
      <c r="M3" s="145"/>
      <c r="N3" s="146"/>
    </row>
    <row r="4" spans="2:15">
      <c r="F4" s="1"/>
      <c r="G4" s="55" t="s">
        <v>3</v>
      </c>
      <c r="H4" s="56"/>
      <c r="I4" s="161" t="s">
        <v>36</v>
      </c>
      <c r="J4" s="162"/>
      <c r="K4" s="162"/>
      <c r="L4" s="162"/>
      <c r="M4" s="162"/>
      <c r="N4" s="163"/>
    </row>
    <row r="5" spans="2:15">
      <c r="F5" s="1"/>
      <c r="G5" s="60"/>
      <c r="H5" s="61"/>
      <c r="I5" s="161" t="s">
        <v>37</v>
      </c>
      <c r="J5" s="162"/>
      <c r="K5" s="162"/>
      <c r="L5" s="162"/>
      <c r="M5" s="162"/>
      <c r="N5" s="163"/>
    </row>
    <row r="6" spans="2:15">
      <c r="G6" s="64"/>
      <c r="H6" s="65"/>
      <c r="I6" s="161" t="s">
        <v>38</v>
      </c>
      <c r="J6" s="162"/>
      <c r="K6" s="162"/>
      <c r="L6" s="162"/>
      <c r="M6" s="162"/>
      <c r="N6" s="163"/>
    </row>
    <row r="7" spans="2:15">
      <c r="G7" s="69" t="s">
        <v>4</v>
      </c>
      <c r="H7" s="70"/>
      <c r="I7" s="74" t="s">
        <v>39</v>
      </c>
      <c r="J7" s="75"/>
      <c r="K7" s="75"/>
      <c r="L7" s="75"/>
      <c r="M7" s="75"/>
      <c r="N7" s="76"/>
    </row>
    <row r="8" spans="2:15" ht="15.75" thickBot="1">
      <c r="B8" s="27" t="s">
        <v>5</v>
      </c>
      <c r="C8" s="17"/>
      <c r="D8" s="9"/>
      <c r="E8" s="9"/>
      <c r="G8" s="69" t="s">
        <v>6</v>
      </c>
      <c r="H8" s="70"/>
      <c r="I8" s="74" t="s">
        <v>40</v>
      </c>
      <c r="J8" s="75"/>
      <c r="K8" s="75"/>
      <c r="L8" s="75"/>
      <c r="M8" s="75"/>
      <c r="N8" s="76"/>
    </row>
    <row r="9" spans="2:15" ht="15.75" thickBot="1">
      <c r="B9" s="30" t="s">
        <v>7</v>
      </c>
      <c r="C9" s="31">
        <v>25012</v>
      </c>
      <c r="D9" s="32" t="s">
        <v>8</v>
      </c>
      <c r="E9" s="33" t="s">
        <v>41</v>
      </c>
      <c r="G9" s="69" t="s">
        <v>9</v>
      </c>
      <c r="H9" s="70"/>
      <c r="I9" s="147" t="s">
        <v>42</v>
      </c>
      <c r="J9" s="75"/>
      <c r="K9" s="75"/>
      <c r="L9" s="75"/>
      <c r="M9" s="75"/>
      <c r="N9" s="76"/>
    </row>
    <row r="10" spans="2:15" ht="15.75" thickBot="1">
      <c r="B10" s="29" t="s">
        <v>10</v>
      </c>
      <c r="C10" s="78" t="s">
        <v>43</v>
      </c>
      <c r="D10" s="79"/>
      <c r="E10" s="80"/>
      <c r="G10" s="69" t="s">
        <v>11</v>
      </c>
      <c r="H10" s="70"/>
      <c r="I10" s="74" t="s">
        <v>44</v>
      </c>
      <c r="J10" s="75"/>
      <c r="K10" s="75"/>
      <c r="L10" s="75" t="s">
        <v>45</v>
      </c>
      <c r="M10" s="75"/>
      <c r="N10" s="76"/>
    </row>
    <row r="11" spans="2:15" ht="15.75" thickBot="1">
      <c r="B11" s="29" t="s">
        <v>12</v>
      </c>
      <c r="C11" s="81">
        <v>45748</v>
      </c>
      <c r="D11" s="82"/>
      <c r="E11" s="83"/>
      <c r="G11" s="84" t="s">
        <v>13</v>
      </c>
      <c r="H11" s="85"/>
      <c r="I11" s="148" t="s">
        <v>46</v>
      </c>
      <c r="J11" s="149"/>
      <c r="K11" s="149"/>
      <c r="L11" s="150" t="s">
        <v>47</v>
      </c>
      <c r="M11" s="150"/>
      <c r="N11" s="151"/>
    </row>
    <row r="12" spans="2:15">
      <c r="B12" s="3"/>
    </row>
    <row r="13" spans="2:15" ht="15.75" thickBot="1">
      <c r="B13" s="8" t="s">
        <v>14</v>
      </c>
      <c r="I13" s="1"/>
      <c r="J13" s="1"/>
      <c r="K13" s="4" t="s">
        <v>15</v>
      </c>
      <c r="L13" s="4" t="s">
        <v>16</v>
      </c>
      <c r="M13" s="4" t="s">
        <v>17</v>
      </c>
      <c r="N13" s="4" t="s">
        <v>18</v>
      </c>
    </row>
    <row r="14" spans="2:15">
      <c r="B14" s="152" t="s">
        <v>48</v>
      </c>
      <c r="C14" s="153"/>
      <c r="D14" s="153"/>
      <c r="E14" s="153"/>
      <c r="F14" s="153"/>
      <c r="G14" s="153"/>
      <c r="H14" s="153"/>
      <c r="I14" s="153"/>
      <c r="J14" s="154"/>
      <c r="K14" s="12">
        <v>4</v>
      </c>
      <c r="L14" s="13"/>
      <c r="M14" s="13"/>
      <c r="N14" s="18"/>
    </row>
    <row r="15" spans="2:15">
      <c r="B15" s="155"/>
      <c r="C15" s="156"/>
      <c r="D15" s="156"/>
      <c r="E15" s="156"/>
      <c r="F15" s="156"/>
      <c r="G15" s="156"/>
      <c r="H15" s="156"/>
      <c r="I15" s="156"/>
      <c r="J15" s="157"/>
      <c r="K15" s="15"/>
      <c r="L15" s="16"/>
      <c r="M15" s="16"/>
      <c r="N15" s="19"/>
    </row>
    <row r="16" spans="2:15">
      <c r="B16" s="155"/>
      <c r="C16" s="156"/>
      <c r="D16" s="156"/>
      <c r="E16" s="156"/>
      <c r="F16" s="156"/>
      <c r="G16" s="156"/>
      <c r="H16" s="156"/>
      <c r="I16" s="156"/>
      <c r="J16" s="157"/>
      <c r="K16" s="15"/>
      <c r="L16" s="16"/>
      <c r="M16" s="16"/>
      <c r="N16" s="19"/>
    </row>
    <row r="17" spans="2:14">
      <c r="B17" s="155"/>
      <c r="C17" s="156"/>
      <c r="D17" s="156"/>
      <c r="E17" s="156"/>
      <c r="F17" s="156"/>
      <c r="G17" s="156"/>
      <c r="H17" s="156"/>
      <c r="I17" s="156"/>
      <c r="J17" s="157"/>
      <c r="K17" s="15"/>
      <c r="L17" s="16"/>
      <c r="M17" s="16"/>
      <c r="N17" s="19"/>
    </row>
    <row r="18" spans="2:14">
      <c r="B18" s="155"/>
      <c r="C18" s="156"/>
      <c r="D18" s="156"/>
      <c r="E18" s="156"/>
      <c r="F18" s="156"/>
      <c r="G18" s="156"/>
      <c r="H18" s="156"/>
      <c r="I18" s="156"/>
      <c r="J18" s="157"/>
      <c r="K18" s="15"/>
      <c r="L18" s="16"/>
      <c r="M18" s="16"/>
      <c r="N18" s="19"/>
    </row>
    <row r="19" spans="2:14">
      <c r="B19" s="155"/>
      <c r="C19" s="156"/>
      <c r="D19" s="156"/>
      <c r="E19" s="156"/>
      <c r="F19" s="156"/>
      <c r="G19" s="156"/>
      <c r="H19" s="156"/>
      <c r="I19" s="156"/>
      <c r="J19" s="157"/>
      <c r="K19" s="15"/>
      <c r="L19" s="16"/>
      <c r="M19" s="16"/>
      <c r="N19" s="19"/>
    </row>
    <row r="20" spans="2:14">
      <c r="B20" s="155"/>
      <c r="C20" s="156"/>
      <c r="D20" s="156"/>
      <c r="E20" s="156"/>
      <c r="F20" s="156"/>
      <c r="G20" s="156"/>
      <c r="H20" s="156"/>
      <c r="I20" s="156"/>
      <c r="J20" s="157"/>
      <c r="K20" s="15"/>
      <c r="L20" s="16"/>
      <c r="M20" s="16"/>
      <c r="N20" s="19"/>
    </row>
    <row r="21" spans="2:14">
      <c r="B21" s="155"/>
      <c r="C21" s="156"/>
      <c r="D21" s="156"/>
      <c r="E21" s="156"/>
      <c r="F21" s="156"/>
      <c r="G21" s="156"/>
      <c r="H21" s="156"/>
      <c r="I21" s="156"/>
      <c r="J21" s="157"/>
      <c r="K21" s="15"/>
      <c r="L21" s="16"/>
      <c r="M21" s="16"/>
      <c r="N21" s="19"/>
    </row>
    <row r="22" spans="2:14">
      <c r="B22" s="155"/>
      <c r="C22" s="156"/>
      <c r="D22" s="156"/>
      <c r="E22" s="156"/>
      <c r="F22" s="156"/>
      <c r="G22" s="156"/>
      <c r="H22" s="156"/>
      <c r="I22" s="156"/>
      <c r="J22" s="157"/>
      <c r="K22" s="15"/>
      <c r="L22" s="16"/>
      <c r="M22" s="16"/>
      <c r="N22" s="19"/>
    </row>
    <row r="23" spans="2:14" ht="15.75" thickBot="1">
      <c r="B23" s="158"/>
      <c r="C23" s="159"/>
      <c r="D23" s="159"/>
      <c r="E23" s="159"/>
      <c r="F23" s="159"/>
      <c r="G23" s="159"/>
      <c r="H23" s="159"/>
      <c r="I23" s="159"/>
      <c r="J23" s="160"/>
      <c r="K23" s="11"/>
      <c r="L23" s="14"/>
      <c r="M23" s="14"/>
      <c r="N23" s="20"/>
    </row>
    <row r="24" spans="2:14" ht="15.75" thickBot="1">
      <c r="B24" s="10" t="s">
        <v>19</v>
      </c>
      <c r="C24" s="28">
        <v>110</v>
      </c>
      <c r="D24" s="10" t="s">
        <v>20</v>
      </c>
      <c r="E24" s="28">
        <v>120</v>
      </c>
      <c r="H24" s="2"/>
      <c r="I24" s="2"/>
      <c r="J24" s="2" t="s">
        <v>21</v>
      </c>
      <c r="K24" s="22">
        <f>SUM(K14:K23)</f>
        <v>4</v>
      </c>
      <c r="L24" s="23">
        <f>SUM(L14:L23)</f>
        <v>0</v>
      </c>
      <c r="M24" s="23">
        <f>SUM(M14:M23)</f>
        <v>0</v>
      </c>
      <c r="N24" s="24">
        <f>SUM(N14:N23)</f>
        <v>0</v>
      </c>
    </row>
    <row r="25" spans="2:14"/>
    <row r="26" spans="2:14" ht="15.75" thickBot="1">
      <c r="B26" s="1" t="s">
        <v>22</v>
      </c>
      <c r="I26" s="46" t="s">
        <v>23</v>
      </c>
      <c r="J26" s="46"/>
      <c r="K26" s="46" t="s">
        <v>24</v>
      </c>
      <c r="L26" s="46"/>
      <c r="M26" s="46" t="s">
        <v>25</v>
      </c>
      <c r="N26" s="46"/>
    </row>
    <row r="27" spans="2:14">
      <c r="B27" s="89"/>
      <c r="C27" s="90"/>
      <c r="D27" s="90"/>
      <c r="E27" s="90"/>
      <c r="F27" s="90"/>
      <c r="G27" s="90"/>
      <c r="H27" s="101"/>
      <c r="I27" s="102"/>
      <c r="J27" s="103"/>
      <c r="K27" s="104"/>
      <c r="L27" s="105"/>
      <c r="M27" s="102"/>
      <c r="N27" s="106"/>
    </row>
    <row r="28" spans="2:14">
      <c r="B28" s="77"/>
      <c r="C28" s="67"/>
      <c r="D28" s="67"/>
      <c r="E28" s="67"/>
      <c r="F28" s="67"/>
      <c r="G28" s="67"/>
      <c r="H28" s="92"/>
      <c r="I28" s="93"/>
      <c r="J28" s="94"/>
      <c r="K28" s="95"/>
      <c r="L28" s="96"/>
      <c r="M28" s="93"/>
      <c r="N28" s="97"/>
    </row>
    <row r="29" spans="2:14">
      <c r="B29" s="77"/>
      <c r="C29" s="67"/>
      <c r="D29" s="67"/>
      <c r="E29" s="67"/>
      <c r="F29" s="67"/>
      <c r="G29" s="67"/>
      <c r="H29" s="92"/>
      <c r="I29" s="93"/>
      <c r="J29" s="94"/>
      <c r="K29" s="95"/>
      <c r="L29" s="96"/>
      <c r="M29" s="93"/>
      <c r="N29" s="97"/>
    </row>
    <row r="30" spans="2:14">
      <c r="B30" s="77"/>
      <c r="C30" s="67"/>
      <c r="D30" s="67"/>
      <c r="E30" s="67"/>
      <c r="F30" s="67"/>
      <c r="G30" s="67"/>
      <c r="H30" s="92"/>
      <c r="I30" s="93"/>
      <c r="J30" s="94"/>
      <c r="K30" s="95"/>
      <c r="L30" s="96"/>
      <c r="M30" s="93"/>
      <c r="N30" s="97"/>
    </row>
    <row r="31" spans="2:14" ht="15.75" thickBot="1">
      <c r="B31" s="98"/>
      <c r="C31" s="99"/>
      <c r="D31" s="99"/>
      <c r="E31" s="99"/>
      <c r="F31" s="99"/>
      <c r="G31" s="99"/>
      <c r="H31" s="108"/>
      <c r="I31" s="109"/>
      <c r="J31" s="110"/>
      <c r="K31" s="111"/>
      <c r="L31" s="112"/>
      <c r="M31" s="109"/>
      <c r="N31" s="113"/>
    </row>
    <row r="32" spans="2:14" ht="15.75" thickBot="1">
      <c r="L32" s="2" t="s">
        <v>26</v>
      </c>
      <c r="M32" s="114" t="str">
        <f>IF(SUM(M27:N31)&gt;0,SUM(M27:N31),"")</f>
        <v/>
      </c>
      <c r="N32" s="115"/>
    </row>
    <row r="33" spans="2:14">
      <c r="L33" s="2"/>
      <c r="M33" s="25"/>
      <c r="N33" s="25"/>
    </row>
    <row r="34" spans="2:14" ht="15.75" thickBot="1">
      <c r="B34" s="1" t="s">
        <v>27</v>
      </c>
      <c r="H34" s="27" t="s">
        <v>28</v>
      </c>
      <c r="I34" s="9"/>
      <c r="J34" s="9"/>
      <c r="K34" s="9"/>
      <c r="L34" s="26"/>
      <c r="M34" s="107"/>
      <c r="N34" s="107"/>
    </row>
    <row r="35" spans="2:14">
      <c r="B35" s="44"/>
      <c r="C35" s="34"/>
      <c r="D35" s="36"/>
      <c r="E35" s="36"/>
      <c r="F35" s="37"/>
      <c r="H35" s="50" t="s">
        <v>29</v>
      </c>
      <c r="I35" s="137"/>
      <c r="J35" s="137"/>
      <c r="K35" s="137"/>
      <c r="L35" s="51"/>
      <c r="M35" s="138">
        <f>IF($K$24&gt;0,$K$24*$C$24,"")</f>
        <v>440</v>
      </c>
      <c r="N35" s="139"/>
    </row>
    <row r="36" spans="2:14">
      <c r="B36" s="45" t="s">
        <v>49</v>
      </c>
      <c r="C36" s="35" t="s">
        <v>46</v>
      </c>
      <c r="D36" s="39"/>
      <c r="E36" s="39"/>
      <c r="F36" s="40"/>
      <c r="H36" s="69" t="s">
        <v>30</v>
      </c>
      <c r="I36" s="140"/>
      <c r="J36" s="140"/>
      <c r="K36" s="140"/>
      <c r="L36" s="70"/>
      <c r="M36" s="141" t="str">
        <f>IF($L$24&gt;0,$L$24*$C$24*0.75,"")</f>
        <v/>
      </c>
      <c r="N36" s="142"/>
    </row>
    <row r="37" spans="2:14">
      <c r="B37" s="45" t="s">
        <v>50</v>
      </c>
      <c r="C37" s="35">
        <v>3210.43</v>
      </c>
      <c r="D37" s="39"/>
      <c r="E37" s="39"/>
      <c r="F37" s="40"/>
      <c r="H37" s="69" t="s">
        <v>31</v>
      </c>
      <c r="I37" s="140"/>
      <c r="J37" s="140"/>
      <c r="K37" s="140"/>
      <c r="L37" s="70"/>
      <c r="M37" s="141" t="str">
        <f>IF($M$24&gt;0,$M$24*$E$24,"")</f>
        <v/>
      </c>
      <c r="N37" s="142"/>
    </row>
    <row r="38" spans="2:14">
      <c r="B38" s="45"/>
      <c r="C38" s="35"/>
      <c r="D38" s="39"/>
      <c r="E38" s="39"/>
      <c r="F38" s="40"/>
      <c r="H38" s="69" t="s">
        <v>32</v>
      </c>
      <c r="I38" s="140"/>
      <c r="J38" s="140"/>
      <c r="K38" s="140"/>
      <c r="L38" s="70"/>
      <c r="M38" s="141" t="str">
        <f>IF($N$24&gt;0,$N$24*$C$24*1.5,"")</f>
        <v/>
      </c>
      <c r="N38" s="142"/>
    </row>
    <row r="39" spans="2:14" ht="15.75" thickBot="1">
      <c r="B39" s="38"/>
      <c r="C39" s="39"/>
      <c r="D39" s="39"/>
      <c r="E39" s="39"/>
      <c r="F39" s="40"/>
      <c r="H39" s="84" t="s">
        <v>26</v>
      </c>
      <c r="I39" s="143"/>
      <c r="J39" s="143"/>
      <c r="K39" s="143"/>
      <c r="L39" s="85"/>
      <c r="M39" s="116" t="str">
        <f>IF($M$32&gt;0,$M$32,"")</f>
        <v/>
      </c>
      <c r="N39" s="117"/>
    </row>
    <row r="40" spans="2:14" ht="15.75" thickBot="1">
      <c r="B40" s="41"/>
      <c r="C40" s="42"/>
      <c r="D40" s="42"/>
      <c r="E40" s="42"/>
      <c r="F40" s="43"/>
      <c r="H40" s="118" t="s">
        <v>33</v>
      </c>
      <c r="I40" s="119"/>
      <c r="J40" s="119"/>
      <c r="K40" s="119"/>
      <c r="L40" s="120"/>
      <c r="M40" s="121">
        <f>SUM(M35:N39)</f>
        <v>440</v>
      </c>
      <c r="N40" s="122"/>
    </row>
    <row r="41" spans="2:14"/>
    <row r="42" spans="2:14" ht="15.75" thickBot="1">
      <c r="B42" s="1" t="s">
        <v>34</v>
      </c>
    </row>
    <row r="43" spans="2:14">
      <c r="B43" s="123"/>
      <c r="C43" s="105"/>
      <c r="D43" s="105"/>
      <c r="E43" s="105"/>
      <c r="F43" s="124"/>
    </row>
    <row r="44" spans="2:14" ht="15.75" thickBot="1">
      <c r="B44" s="125"/>
      <c r="C44" s="126"/>
      <c r="D44" s="126"/>
      <c r="E44" s="126"/>
      <c r="F44" s="127"/>
    </row>
    <row r="45" spans="2:14"/>
    <row r="46" spans="2:14"/>
  </sheetData>
  <mergeCells count="65">
    <mergeCell ref="H40:L40"/>
    <mergeCell ref="M40:N40"/>
    <mergeCell ref="B43:F44"/>
    <mergeCell ref="H37:L37"/>
    <mergeCell ref="M37:N37"/>
    <mergeCell ref="H38:L38"/>
    <mergeCell ref="M38:N38"/>
    <mergeCell ref="H39:L39"/>
    <mergeCell ref="M39:N39"/>
    <mergeCell ref="M32:N32"/>
    <mergeCell ref="M34:N34"/>
    <mergeCell ref="H35:L35"/>
    <mergeCell ref="M35:N35"/>
    <mergeCell ref="H36:L36"/>
    <mergeCell ref="M36:N36"/>
    <mergeCell ref="B30:H30"/>
    <mergeCell ref="I30:J30"/>
    <mergeCell ref="K30:L30"/>
    <mergeCell ref="M30:N30"/>
    <mergeCell ref="B31:H31"/>
    <mergeCell ref="I31:J31"/>
    <mergeCell ref="K31:L31"/>
    <mergeCell ref="M31:N31"/>
    <mergeCell ref="B28:H28"/>
    <mergeCell ref="I28:J28"/>
    <mergeCell ref="K28:L28"/>
    <mergeCell ref="M28:N28"/>
    <mergeCell ref="B29:H29"/>
    <mergeCell ref="I29:J29"/>
    <mergeCell ref="K29:L29"/>
    <mergeCell ref="M29:N29"/>
    <mergeCell ref="B14:J23"/>
    <mergeCell ref="I26:J26"/>
    <mergeCell ref="K26:L26"/>
    <mergeCell ref="M26:N26"/>
    <mergeCell ref="B27:H27"/>
    <mergeCell ref="I27:J27"/>
    <mergeCell ref="K27:L27"/>
    <mergeCell ref="M27:N27"/>
    <mergeCell ref="C10:E10"/>
    <mergeCell ref="G10:H10"/>
    <mergeCell ref="I10:K10"/>
    <mergeCell ref="L10:N10"/>
    <mergeCell ref="C11:E11"/>
    <mergeCell ref="G11:H11"/>
    <mergeCell ref="I11:K11"/>
    <mergeCell ref="L11:N11"/>
    <mergeCell ref="G7:H7"/>
    <mergeCell ref="I7:N7"/>
    <mergeCell ref="G8:H8"/>
    <mergeCell ref="I8:N8"/>
    <mergeCell ref="G9:H9"/>
    <mergeCell ref="I9:N9"/>
    <mergeCell ref="G4:H4"/>
    <mergeCell ref="I4:N4"/>
    <mergeCell ref="G5:H5"/>
    <mergeCell ref="I5:N5"/>
    <mergeCell ref="G6:H6"/>
    <mergeCell ref="I6:N6"/>
    <mergeCell ref="E1:H1"/>
    <mergeCell ref="M1:N1"/>
    <mergeCell ref="K2:L2"/>
    <mergeCell ref="M2:N2"/>
    <mergeCell ref="G3:H3"/>
    <mergeCell ref="I3:N3"/>
  </mergeCells>
  <hyperlinks>
    <hyperlink ref="I9" r:id="rId1" xr:uid="{5F160B9F-320D-4647-8913-D570F34A73D7}"/>
  </hyperlinks>
  <pageMargins left="0.25" right="0.25" top="0.75" bottom="0.75" header="0.3" footer="0.3"/>
  <pageSetup orientation="portrait" r:id="rId2"/>
  <drawing r:id="rId3"/>
</worksheet>
</file>

<file path=docMetadata/LabelInfo.xml><?xml version="1.0" encoding="utf-8"?>
<clbl:labelList xmlns:clbl="http://schemas.microsoft.com/office/2020/mipLabelMetadata">
  <clbl:label id="{c9194650-0c8c-43d8-b366-dd3ac06835c4}" enabled="1" method="Standard" siteId="{70356bd2-72a8-4a5f-9644-09d990518f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Keogh</dc:creator>
  <cp:keywords/>
  <dc:description/>
  <cp:lastModifiedBy/>
  <cp:revision/>
  <dcterms:created xsi:type="dcterms:W3CDTF">2022-02-10T21:43:33Z</dcterms:created>
  <dcterms:modified xsi:type="dcterms:W3CDTF">2025-12-25T20:33:06Z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194650-0c8c-43d8-b366-dd3ac06835c4_Enabled">
    <vt:lpwstr>true</vt:lpwstr>
  </property>
  <property fmtid="{D5CDD505-2E9C-101B-9397-08002B2CF9AE}" pid="3" name="MSIP_Label_c9194650-0c8c-43d8-b366-dd3ac06835c4_SetDate">
    <vt:lpwstr>2023-06-16T20:18:13Z</vt:lpwstr>
  </property>
  <property fmtid="{D5CDD505-2E9C-101B-9397-08002B2CF9AE}" pid="4" name="MSIP_Label_c9194650-0c8c-43d8-b366-dd3ac06835c4_Method">
    <vt:lpwstr>Standard</vt:lpwstr>
  </property>
  <property fmtid="{D5CDD505-2E9C-101B-9397-08002B2CF9AE}" pid="5" name="MSIP_Label_c9194650-0c8c-43d8-b366-dd3ac06835c4_Name">
    <vt:lpwstr>Confidential</vt:lpwstr>
  </property>
  <property fmtid="{D5CDD505-2E9C-101B-9397-08002B2CF9AE}" pid="6" name="MSIP_Label_c9194650-0c8c-43d8-b366-dd3ac06835c4_SiteId">
    <vt:lpwstr>70356bd2-72a8-4a5f-9644-09d990518f39</vt:lpwstr>
  </property>
  <property fmtid="{D5CDD505-2E9C-101B-9397-08002B2CF9AE}" pid="7" name="MSIP_Label_c9194650-0c8c-43d8-b366-dd3ac06835c4_ActionId">
    <vt:lpwstr>380f8094-1f44-490e-a18b-1976ee43f3d5</vt:lpwstr>
  </property>
  <property fmtid="{D5CDD505-2E9C-101B-9397-08002B2CF9AE}" pid="8" name="MSIP_Label_c9194650-0c8c-43d8-b366-dd3ac06835c4_ContentBits">
    <vt:lpwstr>0</vt:lpwstr>
  </property>
</Properties>
</file>